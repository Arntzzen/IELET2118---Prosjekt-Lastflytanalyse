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ntzen/Desktop/IELET2118---Prosjekt-Lastflytanalyse/prosjektfiler/"/>
    </mc:Choice>
  </mc:AlternateContent>
  <xr:revisionPtr revIDLastSave="0" documentId="13_ncr:1_{768922D2-D140-7545-8016-F0E4F4A047C5}" xr6:coauthVersionLast="47" xr6:coauthVersionMax="47" xr10:uidLastSave="{00000000-0000-0000-0000-000000000000}"/>
  <bookViews>
    <workbookView xWindow="-31800" yWindow="500" windowWidth="31800" windowHeight="23340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0 = Slack bus
1 = PV-bus
2 = PQ-bus</t>
        </r>
      </text>
    </comment>
  </commentList>
</comments>
</file>

<file path=xl/sharedStrings.xml><?xml version="1.0" encoding="utf-8"?>
<sst xmlns="http://schemas.openxmlformats.org/spreadsheetml/2006/main" count="42" uniqueCount="42">
  <si>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</si>
  <si>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</si>
  <si>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</si>
  <si>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</si>
  <si>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</si>
  <si>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</si>
  <si>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</si>
  <si>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</si>
  <si>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</si>
  <si>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</si>
  <si>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</si>
  <si>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</si>
  <si>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</si>
  <si>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</si>
  <si>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</si>
  <si>
    <t>0.010177777777777777</t>
  </si>
  <si>
    <t>0.10941111111111111</t>
  </si>
  <si>
    <t>0.005633095539372249</t>
  </si>
  <si>
    <t>0.008355555555555555</t>
  </si>
  <si>
    <t>0.08982222222222222</t>
  </si>
  <si>
    <t>0.00462455004979032</t>
  </si>
  <si>
    <t>0.021244444444444444</t>
  </si>
  <si>
    <t>0.22837777777777776</t>
  </si>
  <si>
    <t>0.011758164488296662</t>
  </si>
  <si>
    <t>0.004033333333333333</t>
  </si>
  <si>
    <t>0.044366666666666665</t>
  </si>
  <si>
    <t>0.003865949671727993</t>
  </si>
  <si>
    <t>0.015822222222222224</t>
  </si>
  <si>
    <t>0.2531555555555556</t>
  </si>
  <si>
    <t>0.022949711325591874</t>
  </si>
  <si>
    <t>0.01208888888888889</t>
  </si>
  <si>
    <t>0.19342222222222225</t>
  </si>
  <si>
    <t>0.017534610900452215</t>
  </si>
  <si>
    <t>0.021955555555555555</t>
  </si>
  <si>
    <t>0.2360222222222222</t>
  </si>
  <si>
    <t>0.012151743215938392</t>
  </si>
  <si>
    <t>0.04702222222222223</t>
  </si>
  <si>
    <t>0.5054888888888889</t>
  </si>
  <si>
    <t>0.02602539336530935</t>
  </si>
  <si>
    <t>0.05186666666666667</t>
  </si>
  <si>
    <t>0.5575666666666667</t>
  </si>
  <si>
    <t>0.028706648447368633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</si>
</sst>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tabSelected="1" workbookViewId="0">
      <selection activeCell="F17" sqref="F17"/>
    </sheetView>
  </sheetViews>
  <sheetFormatPr baseColWidth="10" defaultRowHeight="15" x14ac:dyDescent="0.2"/>
  <cols>
    <col min="3" max="5" width="20.83203125" bestFit="1" customWidth="1"/>
    <col min="9" max="9" width="17" bestFit="1" customWidth="1"/>
  </cols>
  <sheetData>
    <row r="1" spans="1:5" x14ac:dyDescent="0.2">
      <c r="A1" t="s">
        <v>0</v>
      </c>
      <c r="B1" t="s">
        <v>1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>
        <v>2</v>
      </c>
      <c r="C2" s="3" t="s">
        <v>15</v>
      </c>
      <c r="D2" s="3" t="s">
        <v>16</v>
      </c>
      <c r="E2" s="3" t="s">
        <v>17</v>
      </c>
    </row>
    <row r="3" spans="1:5" x14ac:dyDescent="0.2">
      <c r="A3">
        <v>2</v>
      </c>
      <c r="B3">
        <v>3</v>
      </c>
      <c r="C3" s="3" t="s">
        <v>18</v>
      </c>
      <c r="D3" s="3" t="s">
        <v>19</v>
      </c>
      <c r="E3" s="3" t="s">
        <v>20</v>
      </c>
    </row>
    <row r="4" spans="1:5" x14ac:dyDescent="0.2">
      <c r="A4">
        <v>3</v>
      </c>
      <c r="B4">
        <v>4</v>
      </c>
      <c r="C4" s="3" t="s">
        <v>21</v>
      </c>
      <c r="D4" s="3" t="s">
        <v>22</v>
      </c>
      <c r="E4" s="3" t="s">
        <v>23</v>
      </c>
    </row>
    <row r="5" spans="1:5" x14ac:dyDescent="0.2">
      <c r="A5">
        <v>4</v>
      </c>
      <c r="B5">
        <v>5</v>
      </c>
      <c r="C5" s="3" t="s">
        <v>24</v>
      </c>
      <c r="D5" s="3" t="s">
        <v>25</v>
      </c>
      <c r="E5" s="3" t="s">
        <v>26</v>
      </c>
    </row>
    <row r="6" spans="1:5" x14ac:dyDescent="0.2">
      <c r="A6">
        <v>5</v>
      </c>
      <c r="B6">
        <v>6</v>
      </c>
      <c r="C6" s="3" t="s">
        <v>27</v>
      </c>
      <c r="D6" s="3" t="s">
        <v>28</v>
      </c>
      <c r="E6" s="3" t="s">
        <v>29</v>
      </c>
    </row>
    <row r="7" spans="1:5" x14ac:dyDescent="0.2">
      <c r="A7">
        <v>6</v>
      </c>
      <c r="B7">
        <v>7</v>
      </c>
      <c r="C7" s="3" t="s">
        <v>30</v>
      </c>
      <c r="D7" s="3" t="s">
        <v>31</v>
      </c>
      <c r="E7" s="3" t="s">
        <v>32</v>
      </c>
    </row>
    <row r="8" spans="1:5" x14ac:dyDescent="0.2">
      <c r="A8">
        <v>7</v>
      </c>
      <c r="B8">
        <v>8</v>
      </c>
      <c r="C8" s="3" t="s">
        <v>33</v>
      </c>
      <c r="D8" s="3" t="s">
        <v>34</v>
      </c>
      <c r="E8" s="3" t="s">
        <v>35</v>
      </c>
    </row>
    <row r="9" spans="1:5" x14ac:dyDescent="0.2">
      <c r="A9">
        <v>1</v>
      </c>
      <c r="B9">
        <v>8</v>
      </c>
      <c r="C9" s="3" t="s">
        <v>36</v>
      </c>
      <c r="D9" s="3" t="s">
        <v>37</v>
      </c>
      <c r="E9" s="3" t="s">
        <v>38</v>
      </c>
    </row>
    <row r="10" spans="1:5" x14ac:dyDescent="0.2">
      <c r="A10">
        <v>1</v>
      </c>
      <c r="B10">
        <v>6</v>
      </c>
      <c r="C10" s="3" t="s">
        <v>39</v>
      </c>
      <c r="D10" s="3" t="s">
        <v>40</v>
      </c>
      <c r="E10" s="3" t="s">
        <v>41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workbookViewId="0">
      <selection activeCell="H20" sqref="H20"/>
    </sheetView>
  </sheetViews>
  <sheetFormatPr baseColWidth="10" defaultRowHeight="15" x14ac:dyDescent="0.2"/>
  <cols>
    <col min="11" max="11" width="12.1640625" bestFit="1" customWidth="1"/>
    <col min="14" max="14" width="12.5" bestFit="1" customWidth="1"/>
  </cols>
  <sheetData>
    <row r="1" spans="1:12" x14ac:dyDescent="0.2">
      <c r="A1" t="s">
        <v>2</v>
      </c>
      <c r="B1" t="s">
        <v>3</v>
      </c>
      <c r="C1" t="s">
        <v>10</v>
      </c>
      <c r="D1" t="s">
        <v>4</v>
      </c>
      <c r="E1" t="s">
        <v>13</v>
      </c>
      <c r="F1" t="s">
        <v>14</v>
      </c>
      <c r="G1" t="s">
        <v>11</v>
      </c>
      <c r="H1" t="s">
        <v>12</v>
      </c>
      <c r="K1" t="s">
        <v>8</v>
      </c>
      <c r="L1" t="s">
        <v>9</v>
      </c>
    </row>
    <row r="2" spans="1:12" x14ac:dyDescent="0.2">
      <c r="A2">
        <v>1</v>
      </c>
      <c r="B2">
        <v>3</v>
      </c>
      <c r="C2">
        <f>L2*1.02</f>
        <v>306000</v>
      </c>
      <c r="D2" s="1">
        <v>0</v>
      </c>
      <c r="E2">
        <v>0</v>
      </c>
      <c r="F2">
        <v>0</v>
      </c>
      <c r="G2">
        <v>0</v>
      </c>
      <c r="H2">
        <v>0</v>
      </c>
      <c r="K2">
        <v>1000</v>
      </c>
      <c r="L2">
        <v>300000</v>
      </c>
    </row>
    <row r="3" spans="1:12" x14ac:dyDescent="0.2">
      <c r="A3">
        <v>2</v>
      </c>
      <c r="B3">
        <v>2</v>
      </c>
      <c r="C3">
        <f>L2*1.033</f>
        <v>309900</v>
      </c>
      <c r="D3" s="1">
        <v>0</v>
      </c>
      <c r="E3">
        <v>300</v>
      </c>
      <c r="F3">
        <v>0</v>
      </c>
      <c r="G3">
        <v>0</v>
      </c>
      <c r="H3">
        <v>0</v>
      </c>
    </row>
    <row r="4" spans="1:12" x14ac:dyDescent="0.2">
      <c r="A4">
        <v>3</v>
      </c>
      <c r="B4">
        <v>2</v>
      </c>
      <c r="C4">
        <f>L2*1.029</f>
        <v>308700</v>
      </c>
      <c r="D4" s="1">
        <v>0</v>
      </c>
      <c r="E4">
        <v>330</v>
      </c>
      <c r="F4">
        <v>0</v>
      </c>
      <c r="G4">
        <v>0</v>
      </c>
      <c r="H4">
        <v>0</v>
      </c>
    </row>
    <row r="5" spans="1:12" x14ac:dyDescent="0.2">
      <c r="A5">
        <v>4</v>
      </c>
      <c r="B5">
        <v>2</v>
      </c>
      <c r="C5">
        <f>L2*0.985</f>
        <v>295500</v>
      </c>
      <c r="D5" s="1">
        <v>0</v>
      </c>
      <c r="E5">
        <v>180</v>
      </c>
      <c r="F5">
        <v>0</v>
      </c>
      <c r="G5">
        <v>0</v>
      </c>
      <c r="H5">
        <v>0</v>
      </c>
    </row>
    <row r="6" spans="1:12" x14ac:dyDescent="0.2">
      <c r="A6">
        <v>5</v>
      </c>
      <c r="B6">
        <v>1</v>
      </c>
      <c r="C6">
        <v>0</v>
      </c>
      <c r="D6" s="1">
        <v>0</v>
      </c>
      <c r="E6">
        <v>0</v>
      </c>
      <c r="F6">
        <v>0</v>
      </c>
      <c r="G6">
        <v>100</v>
      </c>
      <c r="H6">
        <v>60</v>
      </c>
    </row>
    <row r="7" spans="1:12" x14ac:dyDescent="0.2">
      <c r="A7">
        <v>6</v>
      </c>
      <c r="B7">
        <v>1</v>
      </c>
      <c r="C7">
        <v>0</v>
      </c>
      <c r="D7" s="1">
        <v>0</v>
      </c>
      <c r="E7">
        <v>0</v>
      </c>
      <c r="F7">
        <v>0</v>
      </c>
      <c r="G7">
        <v>1050</v>
      </c>
      <c r="H7">
        <v>225</v>
      </c>
    </row>
    <row r="8" spans="1:12" x14ac:dyDescent="0.2">
      <c r="A8">
        <v>7</v>
      </c>
      <c r="B8">
        <v>1</v>
      </c>
      <c r="C8">
        <v>0</v>
      </c>
      <c r="D8" s="1">
        <v>0</v>
      </c>
      <c r="E8">
        <v>0</v>
      </c>
      <c r="F8">
        <v>0</v>
      </c>
      <c r="G8">
        <v>180</v>
      </c>
      <c r="H8">
        <v>45</v>
      </c>
    </row>
    <row r="9" spans="1:12" x14ac:dyDescent="0.2">
      <c r="A9">
        <v>8</v>
      </c>
      <c r="B9">
        <v>1</v>
      </c>
      <c r="C9">
        <v>0</v>
      </c>
      <c r="D9" s="1">
        <v>0</v>
      </c>
      <c r="E9">
        <v>0</v>
      </c>
      <c r="F9">
        <v>0</v>
      </c>
      <c r="G9">
        <v>225</v>
      </c>
      <c r="H9">
        <v>45</v>
      </c>
    </row>
    <row r="12" spans="1:12" x14ac:dyDescent="0.2">
      <c r="K12" s="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2025-11-11T13:18:26Z</dcterms:modified>
</cp:coreProperties>
</file>