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rku\Desktop\IELET2118---Prosjekt-Lastflytanalyse\prosjektfiler\"/>
    </mc:Choice>
  </mc:AlternateContent>
  <xr:revisionPtr revIDLastSave="0" documentId="13_ncr:1_{9DFCDE43-D24A-4D4A-ABB8-86847C34BCE0}" xr6:coauthVersionLast="47" xr6:coauthVersionMax="47" xr10:uidLastSave="{00000000-0000-0000-0000-000000000000}"/>
  <bookViews>
    <workbookView xWindow="-120" yWindow="-120" windowWidth="29040" windowHeight="15840" activeTab="1" xr2:uid="{E6D3FD58-6DB6-4988-B229-9B990EF92238}"/>
  </bookViews>
  <sheets>
    <sheet name="BranchData" sheetId="1" r:id="rId1"/>
    <sheet name="BusData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5" i="2" l="1"/>
  <c r="C4" i="2"/>
  <c r="C3" i="2"/>
  <c r="C2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Mads-Emil</author>
  </authors>
  <commentList>
    <comment ref="E1" authorId="0" shapeId="0" xr:uid="{7C359762-34AF-45C8-B137-20D896F9A956}">
      <text>
        <r>
          <rPr>
            <b/>
            <sz val="9"/>
            <color indexed="81"/>
            <rFont val="Tahoma"/>
            <charset val="1"/>
          </rPr>
          <t>Mads-Emil:</t>
        </r>
        <r>
          <rPr>
            <sz val="9"/>
            <color indexed="81"/>
            <rFont val="Tahoma"/>
            <charset val="1"/>
          </rPr>
          <t xml:space="preserve">
Full line shunt admittance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Mads-Emil</author>
  </authors>
  <commentList>
    <comment ref="A1" authorId="0" shapeId="0" xr:uid="{89684E75-6D94-4118-AD64-EBD00C5BEF1F}">
      <text>
        <r>
          <rPr>
            <b/>
            <sz val="9"/>
            <color indexed="81"/>
            <rFont val="Tahoma"/>
            <charset val="1"/>
          </rPr>
          <t>Mads-Emil:</t>
        </r>
        <r>
          <rPr>
            <sz val="9"/>
            <color indexed="81"/>
            <rFont val="Tahoma"/>
            <charset val="1"/>
          </rPr>
          <t xml:space="preserve">
All array values must be defined in ascending bus order, starting with bus 1.</t>
        </r>
      </text>
    </comment>
    <comment ref="B1" authorId="0" shapeId="0" xr:uid="{EC69D762-8A9A-4462-A89F-A3C4C2CC361D}">
      <text>
        <r>
          <rPr>
            <b/>
            <sz val="9"/>
            <color indexed="81"/>
            <rFont val="Tahoma"/>
            <charset val="1"/>
          </rPr>
          <t>Mads-Emil:</t>
        </r>
        <r>
          <rPr>
            <sz val="9"/>
            <color indexed="81"/>
            <rFont val="Tahoma"/>
            <charset val="1"/>
          </rPr>
          <t xml:space="preserve">
0 = Slack bus
1 = PV-bus
2 = PQ-bus</t>
        </r>
      </text>
    </comment>
  </commentList>
</comments>
</file>

<file path=xl/sharedStrings.xml><?xml version="1.0" encoding="utf-8"?>
<sst xmlns="http://schemas.openxmlformats.org/spreadsheetml/2006/main" count="42" uniqueCount="42">
  <si>
    <t>From Line</t>
  </si>
  <si>
    <t>To Line</t>
  </si>
  <si>
    <t>Bus Num</t>
  </si>
  <si>
    <t>BusType</t>
  </si>
  <si>
    <t>Angle [rad]</t>
  </si>
  <si>
    <t>R [pu]</t>
  </si>
  <si>
    <t>X [pu]</t>
  </si>
  <si>
    <t>Full-Line B [pu]</t>
  </si>
  <si>
    <t xml:space="preserve">S_base [MVA] </t>
  </si>
  <si>
    <t>V_base</t>
  </si>
  <si>
    <t>V [V]</t>
  </si>
  <si>
    <t>P_load</t>
  </si>
  <si>
    <t>Q_load</t>
  </si>
  <si>
    <t>P_gen</t>
  </si>
  <si>
    <t>Q_gen</t>
  </si>
  <si>
    <t>0.010177777777777777</t>
  </si>
  <si>
    <t>0.10941111111111111</t>
  </si>
  <si>
    <t>0.005633095539372249</t>
  </si>
  <si>
    <t>0.008355555555555555</t>
  </si>
  <si>
    <t>0.08982222222222222</t>
  </si>
  <si>
    <t>0.00462455004979032</t>
  </si>
  <si>
    <t>0.021244444444444444</t>
  </si>
  <si>
    <t>0.22837777777777776</t>
  </si>
  <si>
    <t>0.011758164488296662</t>
  </si>
  <si>
    <t>0.004033333333333333</t>
  </si>
  <si>
    <t>0.044366666666666665</t>
  </si>
  <si>
    <t>0.003865949671727993</t>
  </si>
  <si>
    <t>0.015822222222222224</t>
  </si>
  <si>
    <t>0.2531555555555556</t>
  </si>
  <si>
    <t>0.022949711325591874</t>
  </si>
  <si>
    <t>0.01208888888888889</t>
  </si>
  <si>
    <t>0.19342222222222225</t>
  </si>
  <si>
    <t>0.017534610900452215</t>
  </si>
  <si>
    <t>0.021955555555555555</t>
  </si>
  <si>
    <t>0.2360222222222222</t>
  </si>
  <si>
    <t>0.012151743215938392</t>
  </si>
  <si>
    <t>0.04702222222222223</t>
  </si>
  <si>
    <t>0.5054888888888889</t>
  </si>
  <si>
    <t>0.02602539336530935</t>
  </si>
  <si>
    <t>0.05186666666666667</t>
  </si>
  <si>
    <t>0.5575666666666667</t>
  </si>
  <si>
    <t>0.028706648447368633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</si>
</sst>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"/>
    <numFmt numFmtId="165" formatCode="0.00000"/>
  </numFmts>
  <fonts count="4" x14ac:knownFonts="1">
    <font>
      <sz val="11"/>
      <color theme="1"/>
      <name val="Calibri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" fontId="0" fillId="0" borderId="0" xfId="0" applyNumberFormat="1"/>
    <xf numFmtId="164" fontId="0" fillId="0" borderId="0" xfId="0" applyNumberFormat="1"/>
    <xf numFmtId="165" fontId="0" fillId="0" borderId="0" xfId="0" applyNumberForma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– 2022-tema">
  <a:themeElements>
    <a:clrScheme name="Office 2013–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–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–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1158F8-AC87-45D5-9D87-5F767982CA33}">
  <dimension ref="A1:E10"/>
  <sheetViews>
    <sheetView workbookViewId="0">
      <selection activeCell="G8" sqref="G8"/>
    </sheetView>
  </sheetViews>
  <sheetFormatPr baseColWidth="10" defaultRowHeight="15" x14ac:dyDescent="0.25"/>
  <cols>
    <col min="5" max="5" width="13" customWidth="1"/>
    <col min="9" max="9" width="17" bestFit="1" customWidth="1"/>
  </cols>
  <sheetData>
    <row r="1" spans="1:5" x14ac:dyDescent="0.25">
      <c r="A1" t="s">
        <v>0</v>
      </c>
      <c r="B1" t="s">
        <v>1</v>
      </c>
      <c r="C1" t="s">
        <v>5</v>
      </c>
      <c r="D1" t="s">
        <v>6</v>
      </c>
      <c r="E1" t="s">
        <v>7</v>
      </c>
    </row>
    <row r="2" spans="1:5" x14ac:dyDescent="0.25">
      <c r="A2">
        <v>1</v>
      </c>
      <c r="B2">
        <v>2</v>
      </c>
      <c r="C2" s="3" t="s">
        <v>15</v>
      </c>
      <c r="D2" s="2" t="s">
        <v>16</v>
      </c>
      <c r="E2" s="2" t="s">
        <v>17</v>
      </c>
    </row>
    <row r="3" spans="1:5" x14ac:dyDescent="0.25">
      <c r="A3">
        <v>2</v>
      </c>
      <c r="B3">
        <v>3</v>
      </c>
      <c r="C3" s="3" t="s">
        <v>18</v>
      </c>
      <c r="D3" s="2" t="s">
        <v>19</v>
      </c>
      <c r="E3" s="2" t="s">
        <v>20</v>
      </c>
    </row>
    <row r="4" spans="1:5" x14ac:dyDescent="0.25">
      <c r="A4">
        <v>3</v>
      </c>
      <c r="B4">
        <v>4</v>
      </c>
      <c r="C4" s="3" t="s">
        <v>21</v>
      </c>
      <c r="D4" s="2" t="s">
        <v>22</v>
      </c>
      <c r="E4" s="2" t="s">
        <v>23</v>
      </c>
    </row>
    <row r="5" spans="1:5" x14ac:dyDescent="0.25">
      <c r="A5">
        <v>4</v>
      </c>
      <c r="B5">
        <v>5</v>
      </c>
      <c r="C5" s="3" t="s">
        <v>24</v>
      </c>
      <c r="D5" s="2" t="s">
        <v>25</v>
      </c>
      <c r="E5" s="2" t="s">
        <v>26</v>
      </c>
    </row>
    <row r="6" spans="1:5" x14ac:dyDescent="0.25">
      <c r="A6">
        <v>5</v>
      </c>
      <c r="B6">
        <v>6</v>
      </c>
      <c r="C6" t="s">
        <v>27</v>
      </c>
      <c r="D6" t="s">
        <v>28</v>
      </c>
      <c r="E6" t="s">
        <v>29</v>
      </c>
    </row>
    <row r="7" spans="1:5" x14ac:dyDescent="0.25">
      <c r="A7">
        <v>6</v>
      </c>
      <c r="B7">
        <v>7</v>
      </c>
      <c r="C7" t="s">
        <v>30</v>
      </c>
      <c r="D7" t="s">
        <v>31</v>
      </c>
      <c r="E7" t="s">
        <v>32</v>
      </c>
    </row>
    <row r="8" spans="1:5" x14ac:dyDescent="0.25">
      <c r="A8">
        <v>7</v>
      </c>
      <c r="B8">
        <v>8</v>
      </c>
      <c r="C8" t="s">
        <v>33</v>
      </c>
      <c r="D8" t="s">
        <v>34</v>
      </c>
      <c r="E8" t="s">
        <v>35</v>
      </c>
    </row>
    <row r="9" spans="1:5" x14ac:dyDescent="0.25">
      <c r="A9">
        <v>1</v>
      </c>
      <c r="B9">
        <v>8</v>
      </c>
      <c r="C9" t="s">
        <v>36</v>
      </c>
      <c r="D9" t="s">
        <v>37</v>
      </c>
      <c r="E9" t="s">
        <v>38</v>
      </c>
    </row>
    <row r="10" spans="1:5" x14ac:dyDescent="0.25">
      <c r="A10">
        <v>1</v>
      </c>
      <c r="B10">
        <v>6</v>
      </c>
      <c r="C10" t="s">
        <v>39</v>
      </c>
      <c r="D10" t="s">
        <v>40</v>
      </c>
      <c r="E10" t="s">
        <v>41</v>
      </c>
    </row>
  </sheetData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83FE4D-AF19-4D14-8B95-201C762457E9}">
  <dimension ref="A1:L12"/>
  <sheetViews>
    <sheetView tabSelected="1" workbookViewId="0">
      <selection activeCell="K8" sqref="K8"/>
    </sheetView>
  </sheetViews>
  <sheetFormatPr baseColWidth="10" defaultRowHeight="15" x14ac:dyDescent="0.25"/>
  <cols>
    <col min="11" max="11" width="12.140625" bestFit="1" customWidth="1"/>
    <col min="14" max="14" width="12.5703125" bestFit="1" customWidth="1"/>
  </cols>
  <sheetData>
    <row r="1" spans="1:12" x14ac:dyDescent="0.25">
      <c r="A1" t="s">
        <v>2</v>
      </c>
      <c r="B1" t="s">
        <v>3</v>
      </c>
      <c r="C1" t="s">
        <v>10</v>
      </c>
      <c r="D1" t="s">
        <v>4</v>
      </c>
      <c r="E1" t="s">
        <v>13</v>
      </c>
      <c r="F1" t="s">
        <v>14</v>
      </c>
      <c r="G1" t="s">
        <v>11</v>
      </c>
      <c r="H1" t="s">
        <v>12</v>
      </c>
      <c r="K1" t="s">
        <v>8</v>
      </c>
      <c r="L1" t="s">
        <v>9</v>
      </c>
    </row>
    <row r="2" spans="1:12" x14ac:dyDescent="0.25">
      <c r="A2">
        <v>1</v>
      </c>
      <c r="B2">
        <v>3</v>
      </c>
      <c r="C2">
        <f>L2*1.02</f>
        <v>306000</v>
      </c>
      <c r="D2" s="1"/>
      <c r="K2">
        <v>100</v>
      </c>
      <c r="L2">
        <v>300000</v>
      </c>
    </row>
    <row r="3" spans="1:12" x14ac:dyDescent="0.25">
      <c r="A3">
        <v>2</v>
      </c>
      <c r="B3">
        <v>2</v>
      </c>
      <c r="C3">
        <f>L2*1.033</f>
        <v>309900</v>
      </c>
      <c r="D3" s="1"/>
    </row>
    <row r="4" spans="1:12" x14ac:dyDescent="0.25">
      <c r="A4">
        <v>3</v>
      </c>
      <c r="B4">
        <v>2</v>
      </c>
      <c r="C4">
        <f>L2*1.029</f>
        <v>308700</v>
      </c>
      <c r="D4" s="1"/>
    </row>
    <row r="5" spans="1:12" x14ac:dyDescent="0.25">
      <c r="A5">
        <v>4</v>
      </c>
      <c r="B5">
        <v>2</v>
      </c>
      <c r="C5">
        <f>L2*0.985</f>
        <v>295500</v>
      </c>
      <c r="D5" s="1"/>
    </row>
    <row r="6" spans="1:12" x14ac:dyDescent="0.25">
      <c r="A6">
        <v>5</v>
      </c>
      <c r="B6">
        <v>1</v>
      </c>
      <c r="D6" s="1"/>
    </row>
    <row r="7" spans="1:12" x14ac:dyDescent="0.25">
      <c r="A7">
        <v>6</v>
      </c>
      <c r="B7">
        <v>1</v>
      </c>
    </row>
    <row r="8" spans="1:12" x14ac:dyDescent="0.25">
      <c r="A8">
        <v>7</v>
      </c>
      <c r="B8">
        <v>1</v>
      </c>
    </row>
    <row r="9" spans="1:12" x14ac:dyDescent="0.25">
      <c r="A9">
        <v>8</v>
      </c>
      <c r="B9">
        <v>1</v>
      </c>
    </row>
    <row r="12" spans="1:12" x14ac:dyDescent="0.25">
      <c r="K12" s="4"/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2</vt:i4>
      </vt:variant>
    </vt:vector>
  </HeadingPairs>
  <TitlesOfParts>
    <vt:vector size="2" baseType="lpstr">
      <vt:lpstr>BranchData</vt:lpstr>
      <vt:lpstr>BusData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Mads-Emil</dc:creator>
  <cp:lastModifiedBy>Markus Granrud Arntzen</cp:lastModifiedBy>
  <dcterms:created xsi:type="dcterms:W3CDTF">2018-01-09T10:32:37Z</dcterms:created>
  <dcterms:modified xsi:type="dcterms:W3CDTF">2025-11-11T10:55:34Z</dcterms:modified>
</cp:coreProperties>
</file>