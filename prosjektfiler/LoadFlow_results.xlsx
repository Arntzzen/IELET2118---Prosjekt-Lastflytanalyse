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CEF84362-B720-49EC-AE4C-C607C1FC2C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us_information" sheetId="1" r:id="rId1"/>
    <sheet name="Branch_information" sheetId="2" r:id="rId2"/>
    <sheet name="Ybus_real_part" sheetId="3" r:id="rId3"/>
    <sheet name="Ybus_imaginary_par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/>
  <c r="C17" i="2"/>
  <c r="H17" i="2"/>
  <c r="G17" i="2"/>
  <c r="F17" i="2"/>
  <c r="E17" i="2"/>
  <c r="D17" i="2"/>
</calcChain>
</file>

<file path=xl/sharedStrings.xml><?xml version="1.0" encoding="utf-8"?>
<sst xmlns="http://schemas.openxmlformats.org/spreadsheetml/2006/main" count="25" uniqueCount="15">
  <si>
    <t>Voltage</t>
  </si>
  <si>
    <t>Generator data</t>
  </si>
  <si>
    <t>Load data</t>
  </si>
  <si>
    <t>Bus</t>
  </si>
  <si>
    <t>V [pu]</t>
  </si>
  <si>
    <t>Angle [deg]</t>
  </si>
  <si>
    <t>P [pu]</t>
  </si>
  <si>
    <t>Q [pu]</t>
  </si>
  <si>
    <t>Total:</t>
  </si>
  <si>
    <t>From</t>
  </si>
  <si>
    <t>To</t>
  </si>
  <si>
    <t>From Bus Injection</t>
  </si>
  <si>
    <t>To Bus Injection</t>
  </si>
  <si>
    <t>Line loss</t>
  </si>
  <si>
    <t>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</si>
</sst>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E15" sqref="E15"/>
    </sheetView>
  </sheetViews>
  <sheetFormatPr baseColWidth="10" defaultColWidth="8.85546875" defaultRowHeight="15" x14ac:dyDescent="0.25"/>
  <cols>
    <col min="2" max="2" width="19.42578125" customWidth="1"/>
    <col min="3" max="3" width="19.5703125" customWidth="1"/>
    <col min="4" max="4" width="18" customWidth="1"/>
    <col min="5" max="6" width="17" customWidth="1"/>
    <col min="7" max="7" width="15.140625" customWidth="1"/>
  </cols>
  <sheetData>
    <row r="1" spans="1:7" x14ac:dyDescent="0.25">
      <c r="A1" s="11"/>
      <c r="B1" s="12" t="s">
        <v>0</v>
      </c>
      <c r="C1" s="13"/>
      <c r="D1" s="12" t="s">
        <v>1</v>
      </c>
      <c r="E1" s="13"/>
      <c r="F1" s="12" t="s">
        <v>2</v>
      </c>
      <c r="G1" s="14"/>
    </row>
    <row r="2" spans="1:7" ht="15.75" thickBot="1" x14ac:dyDescent="0.3">
      <c r="A2" s="15" t="s">
        <v>3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6</v>
      </c>
      <c r="G2" s="17" t="s">
        <v>7</v>
      </c>
    </row>
    <row r="3" spans="1:7" x14ac:dyDescent="0.25">
      <c r="A3" s="18">
        <v>1</v>
      </c>
      <c r="B3" s="18">
        <v>1.02</v>
      </c>
      <c r="C3" s="18">
        <v>0</v>
      </c>
      <c r="D3" s="18">
        <v>0.78511545484343759</v>
      </c>
      <c r="E3" s="18">
        <v>0.148701100220169</v>
      </c>
      <c r="F3" s="18">
        <v>0</v>
      </c>
      <c r="G3" s="18">
        <v>0</v>
      </c>
    </row>
    <row r="4" spans="1:7" x14ac:dyDescent="0.25">
      <c r="A4" s="19">
        <v>2</v>
      </c>
      <c r="B4" s="19">
        <v>1.0329999999999999</v>
      </c>
      <c r="C4" s="19">
        <v>0.39890332031625919</v>
      </c>
      <c r="D4" s="19">
        <v>0.30000000000001981</v>
      </c>
      <c r="E4" s="19">
        <v>0.25640438071051008</v>
      </c>
      <c r="F4" s="19">
        <v>0</v>
      </c>
      <c r="G4" s="19">
        <v>0</v>
      </c>
    </row>
    <row r="5" spans="1:7" x14ac:dyDescent="0.25">
      <c r="A5" s="19">
        <v>3</v>
      </c>
      <c r="B5" s="19">
        <v>1.0289999999999999</v>
      </c>
      <c r="C5" s="19">
        <v>-0.2850661730171532</v>
      </c>
      <c r="D5" s="19">
        <v>0.3300000000000114</v>
      </c>
      <c r="E5" s="19">
        <v>0.13755916629168399</v>
      </c>
      <c r="F5" s="19">
        <v>0</v>
      </c>
      <c r="G5" s="19">
        <v>0</v>
      </c>
    </row>
    <row r="6" spans="1:7" x14ac:dyDescent="0.25">
      <c r="A6" s="19">
        <v>4</v>
      </c>
      <c r="B6" s="19">
        <v>0.98499999999999999</v>
      </c>
      <c r="C6" s="19">
        <v>-6.2039903187463308</v>
      </c>
      <c r="D6" s="19">
        <v>0.17999999999935709</v>
      </c>
      <c r="E6" s="19">
        <v>0.16573372887210169</v>
      </c>
      <c r="F6" s="19">
        <v>0</v>
      </c>
      <c r="G6" s="19">
        <v>0</v>
      </c>
    </row>
    <row r="7" spans="1:7" x14ac:dyDescent="0.25">
      <c r="A7" s="19">
        <v>5</v>
      </c>
      <c r="B7" s="19">
        <v>0.96942421438987403</v>
      </c>
      <c r="C7" s="19">
        <v>-7.8605069271660533</v>
      </c>
      <c r="D7" s="19">
        <v>0</v>
      </c>
      <c r="E7" s="19">
        <v>0</v>
      </c>
      <c r="F7" s="19">
        <v>0.1000000000534715</v>
      </c>
      <c r="G7" s="19">
        <v>5.9999999985443253E-2</v>
      </c>
    </row>
    <row r="8" spans="1:7" x14ac:dyDescent="0.25">
      <c r="A8" s="19">
        <v>6</v>
      </c>
      <c r="B8" s="19">
        <v>0.91238149724637241</v>
      </c>
      <c r="C8" s="19">
        <v>-16.633333216805731</v>
      </c>
      <c r="D8" s="19">
        <v>0</v>
      </c>
      <c r="E8" s="19">
        <v>0</v>
      </c>
      <c r="F8" s="19">
        <v>1.0499999999135361</v>
      </c>
      <c r="G8" s="19">
        <v>0.22499999992150421</v>
      </c>
    </row>
    <row r="9" spans="1:7" x14ac:dyDescent="0.25">
      <c r="A9" s="19">
        <v>7</v>
      </c>
      <c r="B9" s="19">
        <v>0.91358701669357245</v>
      </c>
      <c r="C9" s="19">
        <v>-16.297937125025928</v>
      </c>
      <c r="D9" s="19">
        <v>0</v>
      </c>
      <c r="E9" s="19">
        <v>0</v>
      </c>
      <c r="F9" s="19">
        <v>0.17999999993345739</v>
      </c>
      <c r="G9" s="19">
        <v>4.499999999308546E-2</v>
      </c>
    </row>
    <row r="10" spans="1:7" x14ac:dyDescent="0.25">
      <c r="A10" s="19">
        <v>8</v>
      </c>
      <c r="B10" s="19">
        <v>0.92949600405712929</v>
      </c>
      <c r="C10" s="19">
        <v>-13.078364440086609</v>
      </c>
      <c r="D10" s="19">
        <v>0</v>
      </c>
      <c r="E10" s="19">
        <v>0</v>
      </c>
      <c r="F10" s="19">
        <v>0.22500000004330761</v>
      </c>
      <c r="G10" s="19">
        <v>4.4999999968148963E-2</v>
      </c>
    </row>
    <row r="11" spans="1:7" x14ac:dyDescent="0.25">
      <c r="A11" s="19"/>
      <c r="B11" s="19"/>
      <c r="C11" s="19"/>
      <c r="D11" s="19"/>
      <c r="E11" s="19"/>
      <c r="F11" s="19"/>
      <c r="G11" s="19"/>
    </row>
    <row r="12" spans="1:7" x14ac:dyDescent="0.25">
      <c r="A12" s="19"/>
      <c r="B12" s="19"/>
      <c r="C12" s="19" t="s">
        <v>8</v>
      </c>
      <c r="D12" s="19">
        <v>1.5951154548428259</v>
      </c>
      <c r="E12" s="19">
        <v>0.70839837609446477</v>
      </c>
      <c r="F12" s="19">
        <v>1.5549999999437729</v>
      </c>
      <c r="G12" s="19">
        <v>0.37499999986818189</v>
      </c>
    </row>
  </sheetData>
  <mergeCells count="3">
    <mergeCell ref="D1:E1"/>
    <mergeCell ref="F1:G1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selection activeCell="H19" sqref="H19"/>
    </sheetView>
  </sheetViews>
  <sheetFormatPr baseColWidth="10" defaultColWidth="8.85546875" defaultRowHeight="15" x14ac:dyDescent="0.25"/>
  <cols>
    <col min="3" max="3" width="20.28515625" customWidth="1"/>
    <col min="4" max="4" width="19.5703125" customWidth="1"/>
    <col min="5" max="5" width="20" customWidth="1"/>
    <col min="6" max="6" width="17.5703125" customWidth="1"/>
    <col min="7" max="7" width="18.5703125" customWidth="1"/>
    <col min="8" max="8" width="21.140625" customWidth="1"/>
  </cols>
  <sheetData>
    <row r="1" spans="1:8" x14ac:dyDescent="0.25">
      <c r="A1" s="3" t="s">
        <v>9</v>
      </c>
      <c r="B1" s="4" t="s">
        <v>10</v>
      </c>
      <c r="C1" s="5" t="s">
        <v>11</v>
      </c>
      <c r="D1" s="6"/>
      <c r="E1" s="5" t="s">
        <v>12</v>
      </c>
      <c r="F1" s="6"/>
      <c r="G1" s="5" t="s">
        <v>13</v>
      </c>
      <c r="H1" s="7"/>
    </row>
    <row r="2" spans="1:8" ht="15.75" thickBot="1" x14ac:dyDescent="0.3">
      <c r="A2" s="8" t="s">
        <v>14</v>
      </c>
      <c r="B2" s="9" t="s">
        <v>14</v>
      </c>
      <c r="C2" s="9" t="s">
        <v>6</v>
      </c>
      <c r="D2" s="9" t="s">
        <v>7</v>
      </c>
      <c r="E2" s="9" t="s">
        <v>6</v>
      </c>
      <c r="F2" s="9" t="s">
        <v>7</v>
      </c>
      <c r="G2" s="9" t="s">
        <v>6</v>
      </c>
      <c r="H2" s="10" t="s">
        <v>7</v>
      </c>
    </row>
    <row r="3" spans="1:8" x14ac:dyDescent="0.25">
      <c r="A3" s="2">
        <v>1</v>
      </c>
      <c r="B3" s="2">
        <v>2</v>
      </c>
      <c r="C3" s="2">
        <v>-7.7627626278926012E-2</v>
      </c>
      <c r="D3" s="2">
        <v>-0.11667003600976911</v>
      </c>
      <c r="E3" s="2">
        <v>7.7813130734147376E-2</v>
      </c>
      <c r="F3" s="2">
        <v>0.11272836546081071</v>
      </c>
      <c r="G3" s="2">
        <v>1.8550445522136361E-4</v>
      </c>
      <c r="H3" s="2">
        <v>1.9941728936296592E-3</v>
      </c>
    </row>
    <row r="4" spans="1:8" x14ac:dyDescent="0.25">
      <c r="A4" s="1">
        <v>1</v>
      </c>
      <c r="B4" s="1">
        <v>2</v>
      </c>
      <c r="C4" s="1">
        <v>-7.7627626278926012E-2</v>
      </c>
      <c r="D4" s="1">
        <v>-0.11667003600976911</v>
      </c>
      <c r="E4" s="1">
        <v>7.7813130734147376E-2</v>
      </c>
      <c r="F4" s="1">
        <v>0.11272836546081071</v>
      </c>
      <c r="G4" s="1">
        <v>1.8550445522136361E-4</v>
      </c>
      <c r="H4" s="1">
        <v>1.9941728936296592E-3</v>
      </c>
    </row>
    <row r="5" spans="1:8" x14ac:dyDescent="0.25">
      <c r="A5" s="1">
        <v>2</v>
      </c>
      <c r="B5" s="1">
        <v>3</v>
      </c>
      <c r="C5" s="1">
        <v>0.14437373853170571</v>
      </c>
      <c r="D5" s="1">
        <v>3.094764978896113E-2</v>
      </c>
      <c r="E5" s="1">
        <v>-0.14420178393482869</v>
      </c>
      <c r="F5" s="1">
        <v>-3.4014872716209961E-2</v>
      </c>
      <c r="G5" s="1">
        <v>1.7195459687691089E-4</v>
      </c>
      <c r="H5" s="1">
        <v>1.8485119164265221E-3</v>
      </c>
    </row>
    <row r="6" spans="1:8" x14ac:dyDescent="0.25">
      <c r="A6" s="1">
        <v>3</v>
      </c>
      <c r="B6" s="1">
        <v>4</v>
      </c>
      <c r="C6" s="1">
        <v>0.47420178393482848</v>
      </c>
      <c r="D6" s="1">
        <v>0.17157403900941659</v>
      </c>
      <c r="E6" s="1">
        <v>-0.46905580677339292</v>
      </c>
      <c r="F6" s="1">
        <v>-0.1281838304167896</v>
      </c>
      <c r="G6" s="1">
        <v>5.1459771614355554E-3</v>
      </c>
      <c r="H6" s="1">
        <v>5.5319254485431929E-2</v>
      </c>
    </row>
    <row r="7" spans="1:8" x14ac:dyDescent="0.25">
      <c r="A7" s="1">
        <v>4</v>
      </c>
      <c r="B7" s="1">
        <v>5</v>
      </c>
      <c r="C7" s="1">
        <v>0.64905580677339358</v>
      </c>
      <c r="D7" s="1">
        <v>0.29391755940363018</v>
      </c>
      <c r="E7" s="1">
        <v>-0.64694080601927373</v>
      </c>
      <c r="F7" s="1">
        <v>-0.27434454910289618</v>
      </c>
      <c r="G7" s="1">
        <v>2.1150007541198561E-3</v>
      </c>
      <c r="H7" s="1">
        <v>2.3265008295317191E-2</v>
      </c>
    </row>
    <row r="8" spans="1:8" x14ac:dyDescent="0.25">
      <c r="A8" s="1">
        <v>5</v>
      </c>
      <c r="B8" s="1">
        <v>6</v>
      </c>
      <c r="C8" s="1">
        <v>0.54694080601927353</v>
      </c>
      <c r="D8" s="1">
        <v>0.21434454910289241</v>
      </c>
      <c r="E8" s="1">
        <v>-0.54105110640216614</v>
      </c>
      <c r="F8" s="1">
        <v>-0.1404453618443926</v>
      </c>
      <c r="G8" s="1">
        <v>5.8896996171073912E-3</v>
      </c>
      <c r="H8" s="1">
        <v>9.4235193873717954E-2</v>
      </c>
    </row>
    <row r="9" spans="1:8" x14ac:dyDescent="0.25">
      <c r="A9" s="1">
        <v>6</v>
      </c>
      <c r="B9" s="1">
        <v>7</v>
      </c>
      <c r="C9" s="1">
        <v>-2.547753155427657E-2</v>
      </c>
      <c r="D9" s="1">
        <v>-1.131856601308108E-2</v>
      </c>
      <c r="E9" s="1">
        <v>2.5487192725088769E-2</v>
      </c>
      <c r="F9" s="1">
        <v>-3.14266563913478E-3</v>
      </c>
      <c r="G9" s="1">
        <v>9.661170812191866E-6</v>
      </c>
      <c r="H9" s="1">
        <v>1.545787329950759E-4</v>
      </c>
    </row>
    <row r="10" spans="1:8" x14ac:dyDescent="0.25">
      <c r="A10" s="1">
        <v>7</v>
      </c>
      <c r="B10" s="1">
        <v>8</v>
      </c>
      <c r="C10" s="1">
        <v>-0.20548719272508881</v>
      </c>
      <c r="D10" s="1">
        <v>-4.1857334360864383E-2</v>
      </c>
      <c r="E10" s="1">
        <v>0.20663353408133009</v>
      </c>
      <c r="F10" s="1">
        <v>4.3860003767452839E-2</v>
      </c>
      <c r="G10" s="1">
        <v>1.1463413562413931E-3</v>
      </c>
      <c r="H10" s="1">
        <v>1.232316957959499E-2</v>
      </c>
    </row>
    <row r="11" spans="1:8" x14ac:dyDescent="0.25">
      <c r="A11" s="1">
        <v>1</v>
      </c>
      <c r="B11" s="1">
        <v>8</v>
      </c>
      <c r="C11" s="1">
        <v>0.4421014352426047</v>
      </c>
      <c r="D11" s="1">
        <v>0.17660904548049311</v>
      </c>
      <c r="E11" s="1">
        <v>-0.43163353408133021</v>
      </c>
      <c r="F11" s="1">
        <v>-8.8860003767453011E-2</v>
      </c>
      <c r="G11" s="1">
        <v>1.0467901161274501E-2</v>
      </c>
      <c r="H11" s="1">
        <v>0.1125299374837009</v>
      </c>
    </row>
    <row r="12" spans="1:8" x14ac:dyDescent="0.25">
      <c r="A12" s="1">
        <v>1</v>
      </c>
      <c r="B12" s="1">
        <v>6</v>
      </c>
      <c r="C12" s="1">
        <v>0.49826927222222023</v>
      </c>
      <c r="D12" s="1">
        <v>0.20543212687405349</v>
      </c>
      <c r="E12" s="1">
        <v>-0.48347136204355717</v>
      </c>
      <c r="F12" s="1">
        <v>-7.3236072142526365E-2</v>
      </c>
      <c r="G12" s="1">
        <v>1.479791017866294E-2</v>
      </c>
      <c r="H12" s="1">
        <v>0.159077534420627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 t="s">
        <v>8</v>
      </c>
      <c r="G14" s="1">
        <v>4.0115454906973463E-2</v>
      </c>
      <c r="H14" s="1">
        <v>0.46274153457507078</v>
      </c>
    </row>
    <row r="17" spans="3:8" x14ac:dyDescent="0.25">
      <c r="C17" s="20">
        <f>C3+C4</f>
        <v>-0.15525525255785202</v>
      </c>
      <c r="D17" s="20">
        <f>D3+D4</f>
        <v>-0.23334007201953821</v>
      </c>
      <c r="E17" s="20">
        <f>E3+E4</f>
        <v>0.15562626146829475</v>
      </c>
      <c r="F17" s="20">
        <f>F3+F4</f>
        <v>0.22545673092162141</v>
      </c>
      <c r="G17" s="20">
        <f>G3+G4</f>
        <v>3.7100891044272721E-4</v>
      </c>
      <c r="H17" s="20">
        <f>H3+H4</f>
        <v>3.9883457872593184E-3</v>
      </c>
    </row>
    <row r="18" spans="3:8" x14ac:dyDescent="0.25">
      <c r="C18">
        <f>C17*1000</f>
        <v>-155.25525255785203</v>
      </c>
      <c r="D18">
        <f>D17*1000</f>
        <v>-233.34007201953821</v>
      </c>
      <c r="E18">
        <f>E17*1000</f>
        <v>155.62626146829476</v>
      </c>
      <c r="F18">
        <f>F17*1000</f>
        <v>225.45673092162141</v>
      </c>
      <c r="G18">
        <f>G17*1000</f>
        <v>0.37100891044272721</v>
      </c>
      <c r="H18">
        <f>H17*1000</f>
        <v>3.9883457872593184</v>
      </c>
    </row>
  </sheetData>
  <mergeCells count="3">
    <mergeCell ref="C1:D1"/>
    <mergeCell ref="E1:F1"/>
    <mergeCell ref="G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/>
  </sheetViews>
  <sheetFormatPr baseColWidth="10" defaultColWidth="8.85546875" defaultRowHeight="15" x14ac:dyDescent="0.25"/>
  <sheetData>
    <row r="1" spans="1:8" x14ac:dyDescent="0.25">
      <c r="A1">
        <v>2.0337012033594739</v>
      </c>
      <c r="B1">
        <v>-1.685847079621144</v>
      </c>
      <c r="C1">
        <v>0</v>
      </c>
      <c r="D1">
        <v>0</v>
      </c>
      <c r="E1">
        <v>0</v>
      </c>
      <c r="F1">
        <v>-0.1654065900742264</v>
      </c>
      <c r="G1">
        <v>0</v>
      </c>
      <c r="H1">
        <v>-0.18244753366410449</v>
      </c>
    </row>
    <row r="2" spans="1:8" x14ac:dyDescent="0.25">
      <c r="A2">
        <v>-1.685847079621144</v>
      </c>
      <c r="B2">
        <v>2.7125996892840258</v>
      </c>
      <c r="C2">
        <v>-1.026752609662883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-1.026752609662883</v>
      </c>
      <c r="C3">
        <v>1.4305799958901271</v>
      </c>
      <c r="D3">
        <v>-0.40382738622724451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-0.40382738622724451</v>
      </c>
      <c r="D4">
        <v>2.436072339485615</v>
      </c>
      <c r="E4">
        <v>-2.03224495325837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-2.03224495325837</v>
      </c>
      <c r="E5">
        <v>2.278168094079426</v>
      </c>
      <c r="F5">
        <v>-0.2459231408210561</v>
      </c>
      <c r="G5">
        <v>0</v>
      </c>
      <c r="H5">
        <v>0</v>
      </c>
    </row>
    <row r="6" spans="1:8" x14ac:dyDescent="0.25">
      <c r="A6">
        <v>-0.1654065900742264</v>
      </c>
      <c r="B6">
        <v>0</v>
      </c>
      <c r="C6">
        <v>0</v>
      </c>
      <c r="D6">
        <v>0</v>
      </c>
      <c r="E6">
        <v>-0.2459231408210561</v>
      </c>
      <c r="F6">
        <v>0.73319972402872102</v>
      </c>
      <c r="G6">
        <v>-0.32186999313343861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-0.32186999313343861</v>
      </c>
      <c r="G7">
        <v>0.71261794984724802</v>
      </c>
      <c r="H7">
        <v>-0.39074795671380941</v>
      </c>
    </row>
    <row r="8" spans="1:8" x14ac:dyDescent="0.25">
      <c r="A8">
        <v>-0.18244753366410449</v>
      </c>
      <c r="B8">
        <v>0</v>
      </c>
      <c r="C8">
        <v>0</v>
      </c>
      <c r="D8">
        <v>0</v>
      </c>
      <c r="E8">
        <v>0</v>
      </c>
      <c r="F8">
        <v>0</v>
      </c>
      <c r="G8">
        <v>-0.39074795671380941</v>
      </c>
      <c r="H8">
        <v>0.57319549037791395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/>
  </sheetViews>
  <sheetFormatPr baseColWidth="10" defaultColWidth="8.85546875" defaultRowHeight="15" x14ac:dyDescent="0.25"/>
  <sheetData>
    <row r="1" spans="1:8" x14ac:dyDescent="0.25">
      <c r="A1">
        <v>-21.829288819668751</v>
      </c>
      <c r="B1">
        <v>18.122856105927411</v>
      </c>
      <c r="C1">
        <v>0</v>
      </c>
      <c r="D1">
        <v>0</v>
      </c>
      <c r="E1">
        <v>0</v>
      </c>
      <c r="F1">
        <v>1.7781208432979341</v>
      </c>
      <c r="G1">
        <v>0</v>
      </c>
      <c r="H1">
        <v>1.961310986889121</v>
      </c>
    </row>
    <row r="2" spans="1:8" x14ac:dyDescent="0.25">
      <c r="A2">
        <v>18.122856105927411</v>
      </c>
      <c r="B2">
        <v>-29.15250128923914</v>
      </c>
      <c r="C2">
        <v>11.03759055387599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11.03759055387599</v>
      </c>
      <c r="C3">
        <v>-15.370543598549821</v>
      </c>
      <c r="D3">
        <v>4.3411444019428727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4.3411444019428727</v>
      </c>
      <c r="D4">
        <v>-26.688026830704921</v>
      </c>
      <c r="E4">
        <v>22.35469448584206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22.35469448584206</v>
      </c>
      <c r="E5">
        <v>-26.276056908480289</v>
      </c>
      <c r="F5">
        <v>3.9347702531368949</v>
      </c>
      <c r="G5">
        <v>0</v>
      </c>
      <c r="H5">
        <v>0</v>
      </c>
    </row>
    <row r="6" spans="1:8" x14ac:dyDescent="0.25">
      <c r="A6">
        <v>1.7781208432979341</v>
      </c>
      <c r="B6">
        <v>0</v>
      </c>
      <c r="C6">
        <v>0</v>
      </c>
      <c r="D6">
        <v>0</v>
      </c>
      <c r="E6">
        <v>3.9347702531368949</v>
      </c>
      <c r="F6">
        <v>-10.828215501233171</v>
      </c>
      <c r="G6">
        <v>5.1499198901350489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5.1499198901350489</v>
      </c>
      <c r="G7">
        <v>-9.3356172477503119</v>
      </c>
      <c r="H7">
        <v>4.2005405346734577</v>
      </c>
    </row>
    <row r="8" spans="1:8" x14ac:dyDescent="0.25">
      <c r="A8">
        <v>1.961310986889121</v>
      </c>
      <c r="B8">
        <v>0</v>
      </c>
      <c r="C8">
        <v>0</v>
      </c>
      <c r="D8">
        <v>0</v>
      </c>
      <c r="E8">
        <v>0</v>
      </c>
      <c r="F8">
        <v>0</v>
      </c>
      <c r="G8">
        <v>4.2005405346734577</v>
      </c>
      <c r="H8">
        <v>-6.142762953271955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Bus_information</vt:lpstr>
      <vt:lpstr>Branch_information</vt:lpstr>
      <vt:lpstr>Ybus_real_part</vt:lpstr>
      <vt:lpstr>Ybus_imaginary_part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Markus Granrud Arntzen</cp:lastModifiedBy>
  <dcterms:created xsi:type="dcterms:W3CDTF">2025-11-13T12:44:36Z</dcterms:created>
  <dcterms:modified xsi:type="dcterms:W3CDTF">2025-11-13T18:10:07Z</dcterms:modified>
</cp:coreProperties>
</file>