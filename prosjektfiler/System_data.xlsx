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ku\Desktop\IELET2118---Prosjekt-Lastflytanalyse\prosjektfiler\"/>
    </mc:Choice>
  </mc:AlternateContent>
  <xr:revisionPtr revIDLastSave="0" documentId="13_ncr:1_{6B778BC0-3601-4E5A-B117-2AE60BB259A6}" xr6:coauthVersionLast="47" xr6:coauthVersionMax="47" xr10:uidLastSave="{00000000-0000-0000-0000-000000000000}"/>
  <bookViews>
    <workbookView xWindow="-120" yWindow="-120" windowWidth="29040" windowHeight="15840" xr2:uid="{E6D3FD58-6DB6-4988-B229-9B990EF92238}"/>
  </bookViews>
  <sheets>
    <sheet name="BranchData" sheetId="1" r:id="rId1"/>
    <sheet name="Bus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4" i="2"/>
  <c r="C3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Mads-Emil</author>
  </authors>
  <commentList>
    <comment ref="E1" authorId="0" shapeId="0" xr:uid="{7C359762-34AF-45C8-B137-20D896F9A956}">
      <text>
        <r>
          <rPr>
            <b/>
            <sz val="9"/>
            <color rgb="FF000000"/>
            <rFont val="Tahoma"/>
            <family val="2"/>
          </rPr>
          <t>Mads-Emil: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Full line shunt admittance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Mads-Emil</author>
  </authors>
  <commentList>
    <comment ref="A1" authorId="0" shapeId="0" xr:uid="{89684E75-6D94-4118-AD64-EBD00C5BEF1F}">
      <text>
        <r>
          <rPr>
            <b/>
            <sz val="9"/>
            <color indexed="81"/>
            <rFont val="Tahoma"/>
            <family val="2"/>
          </rPr>
          <t>Mads-Emil:</t>
        </r>
        <r>
          <rPr>
            <sz val="9"/>
            <color indexed="81"/>
            <rFont val="Tahoma"/>
            <family val="2"/>
          </rPr>
          <t xml:space="preserve">
All array values must be defined in ascending bus order, starting with bus 1.</t>
        </r>
      </text>
    </comment>
    <comment ref="B1" authorId="0" shapeId="0" xr:uid="{EC69D762-8A9A-4462-A89F-A3C4C2CC361D}">
      <text>
        <r>
          <rPr>
            <b/>
            <sz val="9"/>
            <color rgb="FF000000"/>
            <rFont val="Tahoma"/>
            <family val="2"/>
          </rPr>
          <t>Mads-Emil: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 = Slack bus
</t>
        </r>
        <r>
          <rPr>
            <sz val="9"/>
            <color rgb="FF000000"/>
            <rFont val="Tahoma"/>
            <family val="2"/>
          </rPr>
          <t xml:space="preserve">1 = PV-bus
</t>
        </r>
        <r>
          <rPr>
            <sz val="9"/>
            <color rgb="FF000000"/>
            <rFont val="Tahoma"/>
            <family val="2"/>
          </rPr>
          <t>2 = PQ-bus</t>
        </r>
      </text>
    </comment>
  </commentList>
</comments>
</file>

<file path=xl/sharedStrings.xml><?xml version="1.0" encoding="utf-8"?>
<sst xmlns="http://schemas.openxmlformats.org/spreadsheetml/2006/main" count="15" uniqueCount="15">
  <si>
    <t>From Line</t>
  </si>
  <si>
    <t>To Line</t>
  </si>
  <si>
    <t>Bus Num</t>
  </si>
  <si>
    <t>BusType</t>
  </si>
  <si>
    <t>Angle [rad]</t>
  </si>
  <si>
    <t>R [pu]</t>
  </si>
  <si>
    <t>X [pu]</t>
  </si>
  <si>
    <t>Full-Line B [pu]</t>
  </si>
  <si>
    <t xml:space="preserve">S_base [MVA] </t>
  </si>
  <si>
    <t>V_base</t>
  </si>
  <si>
    <t>V [V]</t>
  </si>
  <si>
    <t>P_load</t>
  </si>
  <si>
    <t>Q_load</t>
  </si>
  <si>
    <t>P_gen</t>
  </si>
  <si>
    <t>Q_gen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</si>
</sst>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0" fillId="0" borderId="1" xfId="0" applyBorder="1"/>
    <xf numFmtId="1" fontId="0" fillId="0" borderId="1" xfId="0" applyNumberFormat="1" applyBorder="1"/>
    <xf numFmtId="0" fontId="0" fillId="0" borderId="2" xfId="0" applyBorder="1"/>
    <xf numFmtId="1" fontId="0" fillId="0" borderId="2" xfId="0" applyNumberForma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58F8-AC87-45D5-9D87-5F767982CA33}">
  <dimension ref="A1:E10"/>
  <sheetViews>
    <sheetView tabSelected="1" workbookViewId="0">
      <selection activeCell="I4" sqref="I4"/>
    </sheetView>
  </sheetViews>
  <sheetFormatPr baseColWidth="10" defaultRowHeight="15" x14ac:dyDescent="0.25"/>
  <cols>
    <col min="3" max="5" width="20.85546875" bestFit="1" customWidth="1"/>
    <col min="9" max="9" width="17" bestFit="1" customWidth="1"/>
  </cols>
  <sheetData>
    <row r="1" spans="1:5" ht="15.75" thickBot="1" x14ac:dyDescent="0.3">
      <c r="A1" s="6" t="s">
        <v>0</v>
      </c>
      <c r="B1" s="7" t="s">
        <v>1</v>
      </c>
      <c r="C1" s="7" t="s">
        <v>5</v>
      </c>
      <c r="D1" s="7" t="s">
        <v>6</v>
      </c>
      <c r="E1" s="8" t="s">
        <v>7</v>
      </c>
    </row>
    <row r="2" spans="1:5" x14ac:dyDescent="0.25">
      <c r="A2" s="4">
        <v>1</v>
      </c>
      <c r="B2" s="4">
        <v>2</v>
      </c>
      <c r="C2" s="4">
        <v>1.0177777777777701E-2</v>
      </c>
      <c r="D2" s="4">
        <v>0.109411111111111</v>
      </c>
      <c r="E2" s="4">
        <v>5.6330955393722399E-3</v>
      </c>
    </row>
    <row r="3" spans="1:5" x14ac:dyDescent="0.25">
      <c r="A3" s="2">
        <v>2</v>
      </c>
      <c r="B3" s="2">
        <v>3</v>
      </c>
      <c r="C3" s="2">
        <v>8.3555555555555501E-3</v>
      </c>
      <c r="D3" s="2">
        <v>8.9822222222222206E-2</v>
      </c>
      <c r="E3" s="2">
        <v>4.6245500497903201E-3</v>
      </c>
    </row>
    <row r="4" spans="1:5" x14ac:dyDescent="0.25">
      <c r="A4" s="2">
        <v>3</v>
      </c>
      <c r="B4" s="2">
        <v>4</v>
      </c>
      <c r="C4" s="2">
        <v>2.1244444444444399E-2</v>
      </c>
      <c r="D4" s="2">
        <v>0.22837777777777701</v>
      </c>
      <c r="E4" s="2">
        <v>1.1758164488296601E-2</v>
      </c>
    </row>
    <row r="5" spans="1:5" x14ac:dyDescent="0.25">
      <c r="A5" s="2">
        <v>4</v>
      </c>
      <c r="B5" s="2">
        <v>5</v>
      </c>
      <c r="C5" s="2">
        <v>4.0333333333333297E-3</v>
      </c>
      <c r="D5" s="2">
        <v>4.4366666666666603E-2</v>
      </c>
      <c r="E5" s="2">
        <v>3.8659496717279901E-3</v>
      </c>
    </row>
    <row r="6" spans="1:5" x14ac:dyDescent="0.25">
      <c r="A6" s="2">
        <v>5</v>
      </c>
      <c r="B6" s="2">
        <v>6</v>
      </c>
      <c r="C6" s="2">
        <v>1.5822222222222199E-2</v>
      </c>
      <c r="D6" s="2">
        <v>0.25315555555555502</v>
      </c>
      <c r="E6" s="2">
        <v>2.2949711325591801E-2</v>
      </c>
    </row>
    <row r="7" spans="1:5" x14ac:dyDescent="0.25">
      <c r="A7" s="2">
        <v>6</v>
      </c>
      <c r="B7" s="2">
        <v>7</v>
      </c>
      <c r="C7" s="2">
        <v>1.20888888888888E-2</v>
      </c>
      <c r="D7" s="2">
        <v>0.193422222222222</v>
      </c>
      <c r="E7" s="2">
        <v>1.7534610900452201E-2</v>
      </c>
    </row>
    <row r="8" spans="1:5" x14ac:dyDescent="0.25">
      <c r="A8" s="2">
        <v>7</v>
      </c>
      <c r="B8" s="2">
        <v>8</v>
      </c>
      <c r="C8" s="2">
        <v>2.1955555555555499E-2</v>
      </c>
      <c r="D8" s="2">
        <v>0.23602222222222199</v>
      </c>
      <c r="E8" s="2">
        <v>1.21517432159383E-2</v>
      </c>
    </row>
    <row r="9" spans="1:5" x14ac:dyDescent="0.25">
      <c r="A9" s="2">
        <v>1</v>
      </c>
      <c r="B9" s="2">
        <v>8</v>
      </c>
      <c r="C9" s="2">
        <v>4.7022222222222201E-2</v>
      </c>
      <c r="D9" s="2">
        <v>0.50548888888888799</v>
      </c>
      <c r="E9" s="2">
        <v>2.6025393365309301E-2</v>
      </c>
    </row>
    <row r="10" spans="1:5" x14ac:dyDescent="0.25">
      <c r="A10" s="2">
        <v>1</v>
      </c>
      <c r="B10" s="2">
        <v>6</v>
      </c>
      <c r="C10" s="2">
        <v>5.1866666666666603E-2</v>
      </c>
      <c r="D10" s="2">
        <v>0.55756666666666599</v>
      </c>
      <c r="E10" s="2">
        <v>2.8706648447368598E-2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FE4D-AF19-4D14-8B95-201C762457E9}">
  <dimension ref="A1:L12"/>
  <sheetViews>
    <sheetView workbookViewId="0">
      <selection activeCell="R19" sqref="R19"/>
    </sheetView>
  </sheetViews>
  <sheetFormatPr baseColWidth="10" defaultRowHeight="15" x14ac:dyDescent="0.25"/>
  <cols>
    <col min="11" max="11" width="12.140625" bestFit="1" customWidth="1"/>
    <col min="14" max="14" width="12.42578125" bestFit="1" customWidth="1"/>
  </cols>
  <sheetData>
    <row r="1" spans="1:12" ht="15.75" thickBot="1" x14ac:dyDescent="0.3">
      <c r="A1" s="6" t="s">
        <v>2</v>
      </c>
      <c r="B1" s="7" t="s">
        <v>3</v>
      </c>
      <c r="C1" s="7" t="s">
        <v>10</v>
      </c>
      <c r="D1" s="7" t="s">
        <v>4</v>
      </c>
      <c r="E1" s="7" t="s">
        <v>13</v>
      </c>
      <c r="F1" s="7" t="s">
        <v>14</v>
      </c>
      <c r="G1" s="7" t="s">
        <v>11</v>
      </c>
      <c r="H1" s="8" t="s">
        <v>12</v>
      </c>
      <c r="K1" s="11" t="s">
        <v>8</v>
      </c>
      <c r="L1" s="12" t="s">
        <v>9</v>
      </c>
    </row>
    <row r="2" spans="1:12" x14ac:dyDescent="0.25">
      <c r="A2" s="4">
        <v>1</v>
      </c>
      <c r="B2" s="4">
        <v>0</v>
      </c>
      <c r="C2" s="4">
        <f>L2*1.02</f>
        <v>306000</v>
      </c>
      <c r="D2" s="5">
        <v>0</v>
      </c>
      <c r="E2" s="4">
        <v>0</v>
      </c>
      <c r="F2" s="4">
        <v>0</v>
      </c>
      <c r="G2" s="4">
        <v>0</v>
      </c>
      <c r="H2" s="4">
        <v>0</v>
      </c>
      <c r="K2" s="9">
        <v>1000</v>
      </c>
      <c r="L2" s="10">
        <v>300000</v>
      </c>
    </row>
    <row r="3" spans="1:12" x14ac:dyDescent="0.25">
      <c r="A3" s="2">
        <v>2</v>
      </c>
      <c r="B3" s="2">
        <v>1</v>
      </c>
      <c r="C3" s="2">
        <f>L2*1.033</f>
        <v>309900</v>
      </c>
      <c r="D3" s="3">
        <v>0</v>
      </c>
      <c r="E3" s="2">
        <v>300</v>
      </c>
      <c r="F3" s="2">
        <v>0</v>
      </c>
      <c r="G3" s="2">
        <v>0</v>
      </c>
      <c r="H3" s="2">
        <v>0</v>
      </c>
    </row>
    <row r="4" spans="1:12" x14ac:dyDescent="0.25">
      <c r="A4" s="2">
        <v>3</v>
      </c>
      <c r="B4" s="2">
        <v>1</v>
      </c>
      <c r="C4" s="2">
        <f>L2*1.029</f>
        <v>308700</v>
      </c>
      <c r="D4" s="3">
        <v>0</v>
      </c>
      <c r="E4" s="2">
        <v>330</v>
      </c>
      <c r="F4" s="2">
        <v>0</v>
      </c>
      <c r="G4" s="2">
        <v>0</v>
      </c>
      <c r="H4" s="2">
        <v>0</v>
      </c>
    </row>
    <row r="5" spans="1:12" x14ac:dyDescent="0.25">
      <c r="A5" s="2">
        <v>4</v>
      </c>
      <c r="B5" s="2">
        <v>1</v>
      </c>
      <c r="C5" s="2">
        <f>L2*0.985</f>
        <v>295500</v>
      </c>
      <c r="D5" s="3">
        <v>0</v>
      </c>
      <c r="E5" s="2">
        <v>180</v>
      </c>
      <c r="F5" s="2">
        <v>0</v>
      </c>
      <c r="G5" s="2">
        <v>0</v>
      </c>
      <c r="H5" s="2">
        <v>0</v>
      </c>
    </row>
    <row r="6" spans="1:12" x14ac:dyDescent="0.25">
      <c r="A6" s="2">
        <v>5</v>
      </c>
      <c r="B6" s="2">
        <v>2</v>
      </c>
      <c r="C6" s="2">
        <v>300000</v>
      </c>
      <c r="D6" s="3">
        <v>0</v>
      </c>
      <c r="E6" s="2">
        <v>0</v>
      </c>
      <c r="F6" s="2">
        <v>0</v>
      </c>
      <c r="G6" s="2">
        <v>100</v>
      </c>
      <c r="H6" s="2">
        <v>60</v>
      </c>
    </row>
    <row r="7" spans="1:12" x14ac:dyDescent="0.25">
      <c r="A7" s="2">
        <v>6</v>
      </c>
      <c r="B7" s="2">
        <v>2</v>
      </c>
      <c r="C7" s="2">
        <v>300000</v>
      </c>
      <c r="D7" s="3">
        <v>0</v>
      </c>
      <c r="E7" s="2">
        <v>0</v>
      </c>
      <c r="F7" s="2">
        <v>0</v>
      </c>
      <c r="G7" s="2">
        <v>1050</v>
      </c>
      <c r="H7" s="2">
        <v>225</v>
      </c>
    </row>
    <row r="8" spans="1:12" x14ac:dyDescent="0.25">
      <c r="A8" s="2">
        <v>7</v>
      </c>
      <c r="B8" s="2">
        <v>2</v>
      </c>
      <c r="C8" s="2">
        <v>300000</v>
      </c>
      <c r="D8" s="3">
        <v>0</v>
      </c>
      <c r="E8" s="2">
        <v>0</v>
      </c>
      <c r="F8" s="2">
        <v>0</v>
      </c>
      <c r="G8" s="2">
        <v>180</v>
      </c>
      <c r="H8" s="2">
        <v>45</v>
      </c>
    </row>
    <row r="9" spans="1:12" x14ac:dyDescent="0.25">
      <c r="A9" s="2">
        <v>8</v>
      </c>
      <c r="B9" s="2">
        <v>2</v>
      </c>
      <c r="C9" s="2">
        <v>300000</v>
      </c>
      <c r="D9" s="3">
        <v>0</v>
      </c>
      <c r="E9" s="2">
        <v>0</v>
      </c>
      <c r="F9" s="2">
        <v>0</v>
      </c>
      <c r="G9" s="2">
        <v>225</v>
      </c>
      <c r="H9" s="2">
        <v>45</v>
      </c>
    </row>
    <row r="12" spans="1:12" x14ac:dyDescent="0.25">
      <c r="K12" s="1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BranchData</vt:lpstr>
      <vt:lpstr>BusData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Mads-Emil</dc:creator>
  <cp:lastModifiedBy>Markus Granrud Arntzen</cp:lastModifiedBy>
  <dcterms:created xsi:type="dcterms:W3CDTF">2018-01-09T10:32:37Z</dcterms:created>
  <dcterms:modified xsi:type="dcterms:W3CDTF">2025-11-11T17:24:38Z</dcterms:modified>
</cp:coreProperties>
</file>